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or_zhang\Desktop\Doc\BB2Ultra\"/>
    </mc:Choice>
  </mc:AlternateContent>
  <xr:revisionPtr revIDLastSave="0" documentId="13_ncr:1_{14A2EB89-E199-4FCA-9699-43FD78E0B0C4}" xr6:coauthVersionLast="47" xr6:coauthVersionMax="47" xr10:uidLastSave="{00000000-0000-0000-0000-000000000000}"/>
  <bookViews>
    <workbookView xWindow="-120" yWindow="-16320" windowWidth="29040" windowHeight="15720" activeTab="1" xr2:uid="{F7A99358-37A4-4ED1-A33F-96BC96B87233}"/>
  </bookViews>
  <sheets>
    <sheet name="Blend" sheetId="1" r:id="rId1"/>
    <sheet name="Fi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3" i="1" l="1"/>
  <c r="E54" i="1"/>
  <c r="E55" i="1"/>
  <c r="E57" i="1"/>
  <c r="E58" i="1"/>
  <c r="E59" i="1"/>
  <c r="E61" i="1"/>
  <c r="E62" i="1"/>
  <c r="E63" i="1"/>
  <c r="E65" i="1"/>
  <c r="E66" i="1"/>
  <c r="E67" i="1"/>
  <c r="E69" i="1"/>
  <c r="E70" i="1"/>
  <c r="E71" i="1"/>
  <c r="E51" i="1"/>
  <c r="H71" i="1"/>
  <c r="H70" i="1"/>
  <c r="H69" i="1"/>
  <c r="H67" i="1"/>
  <c r="H66" i="1"/>
  <c r="H65" i="1"/>
  <c r="H63" i="1"/>
  <c r="H62" i="1"/>
  <c r="H61" i="1"/>
  <c r="H59" i="1"/>
  <c r="H58" i="1"/>
  <c r="H57" i="1"/>
  <c r="H55" i="1"/>
  <c r="H54" i="1"/>
  <c r="H53" i="1"/>
  <c r="H51" i="1"/>
  <c r="H50" i="1"/>
  <c r="E50" i="1"/>
  <c r="H49" i="1"/>
  <c r="I43" i="1"/>
  <c r="F43" i="1"/>
  <c r="I42" i="1"/>
  <c r="F42" i="1"/>
  <c r="I41" i="1"/>
  <c r="F41" i="1"/>
  <c r="I39" i="1"/>
  <c r="I38" i="1"/>
  <c r="F38" i="1"/>
  <c r="I37" i="1"/>
  <c r="F37" i="1"/>
  <c r="F29" i="1"/>
  <c r="I35" i="1"/>
  <c r="F35" i="1"/>
  <c r="F34" i="1"/>
  <c r="I34" i="1"/>
  <c r="F33" i="1"/>
  <c r="I33" i="1"/>
  <c r="I31" i="1"/>
  <c r="I30" i="1"/>
  <c r="F30" i="1"/>
  <c r="I29" i="1"/>
  <c r="I22" i="1"/>
  <c r="I23" i="1"/>
  <c r="I25" i="1"/>
  <c r="I26" i="1"/>
  <c r="I27" i="1"/>
  <c r="I21" i="1"/>
  <c r="F22" i="1"/>
</calcChain>
</file>

<file path=xl/sharedStrings.xml><?xml version="1.0" encoding="utf-8"?>
<sst xmlns="http://schemas.openxmlformats.org/spreadsheetml/2006/main" count="176" uniqueCount="99">
  <si>
    <t>From SRAM to SRAM</t>
    <phoneticPr fontId="2" type="noConversion"/>
  </si>
  <si>
    <t>2 Separate SRAM Bank</t>
    <phoneticPr fontId="2" type="noConversion"/>
  </si>
  <si>
    <t>Input Width</t>
    <phoneticPr fontId="2" type="noConversion"/>
  </si>
  <si>
    <t>Output Width</t>
    <phoneticPr fontId="2" type="noConversion"/>
  </si>
  <si>
    <t>One SRAM Bank</t>
    <phoneticPr fontId="2" type="noConversion"/>
  </si>
  <si>
    <t>16-bit</t>
    <phoneticPr fontId="2" type="noConversion"/>
  </si>
  <si>
    <t>Bilinear Interpolation</t>
    <phoneticPr fontId="2" type="noConversion"/>
  </si>
  <si>
    <t>Enabled</t>
    <phoneticPr fontId="2" type="noConversion"/>
  </si>
  <si>
    <t>Disabled</t>
    <phoneticPr fontId="2" type="noConversion"/>
  </si>
  <si>
    <t>44.2M Pixel/s</t>
    <phoneticPr fontId="2" type="noConversion"/>
  </si>
  <si>
    <t>49.7M Pixel/s</t>
    <phoneticPr fontId="2" type="noConversion"/>
  </si>
  <si>
    <t>98.4M Pixel/s</t>
    <phoneticPr fontId="2" type="noConversion"/>
  </si>
  <si>
    <t>79M Pixel/s</t>
    <phoneticPr fontId="2" type="noConversion"/>
  </si>
  <si>
    <t>24-bit</t>
    <phoneticPr fontId="2" type="noConversion"/>
  </si>
  <si>
    <t>66.3M Pixel/s</t>
    <phoneticPr fontId="2" type="noConversion"/>
  </si>
  <si>
    <t>78.6M Pixel/s</t>
    <phoneticPr fontId="2" type="noConversion"/>
  </si>
  <si>
    <t>Layer 1: background(READ)  |  Layer2: Foreground(READ)  |  Layer: mixed output(WRITE)</t>
    <phoneticPr fontId="2" type="noConversion"/>
  </si>
  <si>
    <t>36.4M Pixel/s</t>
    <phoneticPr fontId="2" type="noConversion"/>
  </si>
  <si>
    <t>33.4M Pixel/s</t>
    <phoneticPr fontId="2" type="noConversion"/>
  </si>
  <si>
    <t>28.9M Pixel/s</t>
    <phoneticPr fontId="2" type="noConversion"/>
  </si>
  <si>
    <t>33.1M Pixel/s</t>
    <phoneticPr fontId="2" type="noConversion"/>
  </si>
  <si>
    <t>65.6M Pixel/s</t>
    <phoneticPr fontId="2" type="noConversion"/>
  </si>
  <si>
    <t>52M Pixel/s</t>
    <phoneticPr fontId="2" type="noConversion"/>
  </si>
  <si>
    <t>32-bit</t>
    <phoneticPr fontId="2" type="noConversion"/>
  </si>
  <si>
    <t>65.1M Pixel/s</t>
    <phoneticPr fontId="2" type="noConversion"/>
  </si>
  <si>
    <t>82M Pixel/s</t>
    <phoneticPr fontId="2" type="noConversion"/>
  </si>
  <si>
    <t>40.1M Pixel/s</t>
    <phoneticPr fontId="2" type="noConversion"/>
  </si>
  <si>
    <t>33.3M Pixel/s</t>
    <phoneticPr fontId="2" type="noConversion"/>
  </si>
  <si>
    <t>8-bit</t>
    <phoneticPr fontId="2" type="noConversion"/>
  </si>
  <si>
    <t>50M Pixel/s</t>
    <phoneticPr fontId="2" type="noConversion"/>
  </si>
  <si>
    <t>86.6M Pixel/s</t>
    <phoneticPr fontId="2" type="noConversion"/>
  </si>
  <si>
    <t>87M Pixels/s</t>
    <phoneticPr fontId="2" type="noConversion"/>
  </si>
  <si>
    <t>From PSRAM to PSRAM</t>
    <phoneticPr fontId="2" type="noConversion"/>
  </si>
  <si>
    <t>77.4M Pixel/s</t>
    <phoneticPr fontId="2" type="noConversion"/>
  </si>
  <si>
    <t>One PSRAM Bank</t>
    <phoneticPr fontId="2" type="noConversion"/>
  </si>
  <si>
    <t>2 Separate PSRAM Bank</t>
    <phoneticPr fontId="2" type="noConversion"/>
  </si>
  <si>
    <t>40.7M Pixel/s</t>
    <phoneticPr fontId="2" type="noConversion"/>
  </si>
  <si>
    <t>26.8M Pixel/s</t>
    <phoneticPr fontId="2" type="noConversion"/>
  </si>
  <si>
    <t>Cache Hit Rate</t>
    <phoneticPr fontId="2" type="noConversion"/>
  </si>
  <si>
    <t>28M Pixel/s</t>
    <phoneticPr fontId="2" type="noConversion"/>
  </si>
  <si>
    <t>31.7M Pixel/s</t>
    <phoneticPr fontId="2" type="noConversion"/>
  </si>
  <si>
    <t>21.5M Pixel/s</t>
    <phoneticPr fontId="2" type="noConversion"/>
  </si>
  <si>
    <t>Access Data</t>
    <phoneticPr fontId="2" type="noConversion"/>
  </si>
  <si>
    <t>Cache Hit</t>
    <phoneticPr fontId="2" type="noConversion"/>
  </si>
  <si>
    <t>16.6M Pixel/s</t>
    <phoneticPr fontId="2" type="noConversion"/>
  </si>
  <si>
    <t>19M Pixel/s</t>
    <phoneticPr fontId="2" type="noConversion"/>
  </si>
  <si>
    <t>24.1M Pixel/s</t>
    <phoneticPr fontId="2" type="noConversion"/>
  </si>
  <si>
    <t>18.2M Pixel/s</t>
    <phoneticPr fontId="2" type="noConversion"/>
  </si>
  <si>
    <t>26.3M Pixel/s</t>
    <phoneticPr fontId="2" type="noConversion"/>
  </si>
  <si>
    <t>27.4M Pixel/s</t>
    <phoneticPr fontId="2" type="noConversion"/>
  </si>
  <si>
    <t>Cache Miss</t>
    <phoneticPr fontId="2" type="noConversion"/>
  </si>
  <si>
    <t>21.4M Pixel/s</t>
    <phoneticPr fontId="2" type="noConversion"/>
  </si>
  <si>
    <t>17.8M Pixel/s</t>
    <phoneticPr fontId="2" type="noConversion"/>
  </si>
  <si>
    <t>11.9M Pixel/s</t>
    <phoneticPr fontId="2" type="noConversion"/>
  </si>
  <si>
    <t>8.3M Pixel/s</t>
    <phoneticPr fontId="2" type="noConversion"/>
  </si>
  <si>
    <t>15.3M Pixel/s</t>
    <phoneticPr fontId="2" type="noConversion"/>
  </si>
  <si>
    <t>19.9M Pixel/s</t>
    <phoneticPr fontId="2" type="noConversion"/>
  </si>
  <si>
    <t>17.9M Pixel/s</t>
    <phoneticPr fontId="2" type="noConversion"/>
  </si>
  <si>
    <t>13.5M Pixel/s</t>
    <phoneticPr fontId="2" type="noConversion"/>
  </si>
  <si>
    <t>7.6M Pixel/s</t>
    <phoneticPr fontId="2" type="noConversion"/>
  </si>
  <si>
    <t>11.3M Pixel/s</t>
    <phoneticPr fontId="2" type="noConversion"/>
  </si>
  <si>
    <t>19.4M Pixel/s</t>
    <phoneticPr fontId="2" type="noConversion"/>
  </si>
  <si>
    <t>16M Pixel/s</t>
    <phoneticPr fontId="2" type="noConversion"/>
  </si>
  <si>
    <t>12.7M Pixel/s</t>
    <phoneticPr fontId="2" type="noConversion"/>
  </si>
  <si>
    <t>20.3M Pixel/s</t>
    <phoneticPr fontId="2" type="noConversion"/>
  </si>
  <si>
    <t>23.6M Pixel/s</t>
    <phoneticPr fontId="2" type="noConversion"/>
  </si>
  <si>
    <t>14.2M Pixel/s</t>
    <phoneticPr fontId="2" type="noConversion"/>
  </si>
  <si>
    <t>13.1M Pixel/s</t>
    <phoneticPr fontId="2" type="noConversion"/>
  </si>
  <si>
    <t>17.3M Pixel/s</t>
    <phoneticPr fontId="2" type="noConversion"/>
  </si>
  <si>
    <t>16.3M Pixel/s</t>
    <phoneticPr fontId="2" type="noConversion"/>
  </si>
  <si>
    <t>10.5M Pixel/s</t>
    <phoneticPr fontId="2" type="noConversion"/>
  </si>
  <si>
    <t>16.1M Pixel/s</t>
    <phoneticPr fontId="2" type="noConversion"/>
  </si>
  <si>
    <t>12.2M Pixel/s</t>
    <phoneticPr fontId="2" type="noConversion"/>
  </si>
  <si>
    <t>From PSRAM to SRAM</t>
    <phoneticPr fontId="2" type="noConversion"/>
  </si>
  <si>
    <t>Performance</t>
    <phoneticPr fontId="2" type="noConversion"/>
  </si>
  <si>
    <t>28.2M Pixel/s</t>
    <phoneticPr fontId="2" type="noConversion"/>
  </si>
  <si>
    <t>32.2M Pixel/s</t>
    <phoneticPr fontId="2" type="noConversion"/>
  </si>
  <si>
    <t>27.1M Pixel/s</t>
    <phoneticPr fontId="2" type="noConversion"/>
  </si>
  <si>
    <t>17.0M Pixel/s</t>
    <phoneticPr fontId="2" type="noConversion"/>
  </si>
  <si>
    <t>20.8M Pixel/s</t>
    <phoneticPr fontId="2" type="noConversion"/>
  </si>
  <si>
    <t>18.3M Pixel/s</t>
    <phoneticPr fontId="2" type="noConversion"/>
  </si>
  <si>
    <t>32.4M Pixel/s</t>
    <phoneticPr fontId="2" type="noConversion"/>
  </si>
  <si>
    <t>27.8M Pixel/s</t>
    <phoneticPr fontId="2" type="noConversion"/>
  </si>
  <si>
    <t>26.6M Pixel/s</t>
    <phoneticPr fontId="2" type="noConversion"/>
  </si>
  <si>
    <t>21M Pixel/s</t>
    <phoneticPr fontId="2" type="noConversion"/>
  </si>
  <si>
    <t>18.4M Pixel/s</t>
    <phoneticPr fontId="2" type="noConversion"/>
  </si>
  <si>
    <t>18M Pixel/s</t>
    <phoneticPr fontId="2" type="noConversion"/>
  </si>
  <si>
    <t>47M Pixel/s</t>
    <phoneticPr fontId="2" type="noConversion"/>
  </si>
  <si>
    <t>38.2M Pixel/s</t>
    <phoneticPr fontId="2" type="noConversion"/>
  </si>
  <si>
    <t>36.1M Pixel/s</t>
    <phoneticPr fontId="2" type="noConversion"/>
  </si>
  <si>
    <t>32M Pixel/s</t>
    <phoneticPr fontId="2" type="noConversion"/>
  </si>
  <si>
    <t>25.5M Pixel/s</t>
    <phoneticPr fontId="2" type="noConversion"/>
  </si>
  <si>
    <t>Target Width</t>
    <phoneticPr fontId="2" type="noConversion"/>
  </si>
  <si>
    <t>SRAM</t>
    <phoneticPr fontId="2" type="noConversion"/>
  </si>
  <si>
    <t>PSRAM</t>
    <phoneticPr fontId="2" type="noConversion"/>
  </si>
  <si>
    <t>192.9M Pixel/s</t>
    <phoneticPr fontId="2" type="noConversion"/>
  </si>
  <si>
    <t>114.4M Pixel/s</t>
    <phoneticPr fontId="2" type="noConversion"/>
  </si>
  <si>
    <t>74.5M Pixel/s</t>
    <phoneticPr fontId="2" type="noConversion"/>
  </si>
  <si>
    <t>58M Pixel/s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</si>
</sst>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  <xf numFmtId="0" fontId="0" fillId="4" borderId="0" xfId="0" applyFill="1">
      <alignment vertical="center"/>
    </xf>
    <xf numFmtId="0" fontId="1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DB60-AF52-4767-B2EE-BD0317B7236A}">
  <dimension ref="A1:K72"/>
  <sheetViews>
    <sheetView workbookViewId="0">
      <selection activeCell="E4" sqref="A3:E4"/>
    </sheetView>
  </sheetViews>
  <sheetFormatPr defaultRowHeight="14" x14ac:dyDescent="0.3"/>
  <cols>
    <col min="1" max="1" width="10.75" customWidth="1"/>
    <col min="2" max="2" width="12" customWidth="1"/>
    <col min="3" max="3" width="17.25" customWidth="1"/>
    <col min="4" max="4" width="17.08203125" customWidth="1"/>
    <col min="5" max="5" width="19.83203125" customWidth="1"/>
    <col min="6" max="6" width="14" customWidth="1"/>
    <col min="7" max="7" width="14.5" customWidth="1"/>
    <col min="8" max="8" width="12.33203125" bestFit="1" customWidth="1"/>
    <col min="9" max="9" width="10" customWidth="1"/>
    <col min="10" max="11" width="8.6640625" customWidth="1"/>
  </cols>
  <sheetData>
    <row r="1" spans="1:11" s="1" customFormat="1" x14ac:dyDescent="0.3">
      <c r="A1" s="1" t="s">
        <v>16</v>
      </c>
    </row>
    <row r="2" spans="1:11" x14ac:dyDescent="0.3">
      <c r="A2" s="8" t="s">
        <v>0</v>
      </c>
      <c r="B2" s="8"/>
      <c r="C2" s="8"/>
    </row>
    <row r="3" spans="1:11" x14ac:dyDescent="0.3">
      <c r="A3" s="6" t="s">
        <v>2</v>
      </c>
      <c r="B3" s="6" t="s">
        <v>3</v>
      </c>
      <c r="C3" s="6" t="s">
        <v>6</v>
      </c>
      <c r="D3" s="7" t="s">
        <v>4</v>
      </c>
      <c r="E3" s="7" t="s">
        <v>1</v>
      </c>
      <c r="F3" s="2"/>
      <c r="G3" s="2"/>
      <c r="I3" s="2"/>
      <c r="J3" s="2"/>
      <c r="K3" s="2"/>
    </row>
    <row r="4" spans="1:11" x14ac:dyDescent="0.3">
      <c r="A4" t="s">
        <v>28</v>
      </c>
      <c r="B4" t="s">
        <v>5</v>
      </c>
      <c r="C4" t="s">
        <v>7</v>
      </c>
      <c r="D4" t="s">
        <v>29</v>
      </c>
      <c r="E4" t="s">
        <v>29</v>
      </c>
    </row>
    <row r="5" spans="1:11" x14ac:dyDescent="0.3">
      <c r="A5" t="s">
        <v>28</v>
      </c>
      <c r="B5" t="s">
        <v>5</v>
      </c>
      <c r="C5" t="s">
        <v>8</v>
      </c>
      <c r="D5" t="s">
        <v>30</v>
      </c>
      <c r="E5" t="s">
        <v>31</v>
      </c>
    </row>
    <row r="6" spans="1:11" x14ac:dyDescent="0.3">
      <c r="A6" t="s">
        <v>5</v>
      </c>
      <c r="B6" t="s">
        <v>5</v>
      </c>
      <c r="C6" t="s">
        <v>7</v>
      </c>
      <c r="D6" t="s">
        <v>9</v>
      </c>
      <c r="E6" t="s">
        <v>10</v>
      </c>
    </row>
    <row r="7" spans="1:11" x14ac:dyDescent="0.3">
      <c r="A7" t="s">
        <v>5</v>
      </c>
      <c r="B7" t="s">
        <v>5</v>
      </c>
      <c r="C7" t="s">
        <v>8</v>
      </c>
      <c r="D7" t="s">
        <v>12</v>
      </c>
      <c r="E7" t="s">
        <v>11</v>
      </c>
    </row>
    <row r="8" spans="1:11" x14ac:dyDescent="0.3">
      <c r="A8" t="s">
        <v>13</v>
      </c>
      <c r="B8" t="s">
        <v>5</v>
      </c>
      <c r="C8" t="s">
        <v>7</v>
      </c>
      <c r="D8" t="s">
        <v>18</v>
      </c>
      <c r="E8" t="s">
        <v>17</v>
      </c>
    </row>
    <row r="9" spans="1:11" x14ac:dyDescent="0.3">
      <c r="A9" t="s">
        <v>13</v>
      </c>
      <c r="B9" t="s">
        <v>5</v>
      </c>
      <c r="C9" t="s">
        <v>8</v>
      </c>
      <c r="D9" t="s">
        <v>14</v>
      </c>
      <c r="E9" t="s">
        <v>15</v>
      </c>
    </row>
    <row r="10" spans="1:11" x14ac:dyDescent="0.3">
      <c r="A10" t="s">
        <v>13</v>
      </c>
      <c r="B10" t="s">
        <v>13</v>
      </c>
      <c r="C10" t="s">
        <v>7</v>
      </c>
      <c r="D10" t="s">
        <v>19</v>
      </c>
      <c r="E10" t="s">
        <v>20</v>
      </c>
    </row>
    <row r="11" spans="1:11" x14ac:dyDescent="0.3">
      <c r="A11" t="s">
        <v>13</v>
      </c>
      <c r="B11" t="s">
        <v>13</v>
      </c>
      <c r="C11" t="s">
        <v>8</v>
      </c>
      <c r="D11" t="s">
        <v>22</v>
      </c>
      <c r="E11" t="s">
        <v>21</v>
      </c>
    </row>
    <row r="12" spans="1:11" x14ac:dyDescent="0.3">
      <c r="A12" t="s">
        <v>23</v>
      </c>
      <c r="B12" t="s">
        <v>5</v>
      </c>
      <c r="C12" t="s">
        <v>7</v>
      </c>
      <c r="D12" t="s">
        <v>18</v>
      </c>
      <c r="E12" t="s">
        <v>17</v>
      </c>
    </row>
    <row r="13" spans="1:11" x14ac:dyDescent="0.3">
      <c r="A13" t="s">
        <v>23</v>
      </c>
      <c r="B13" t="s">
        <v>5</v>
      </c>
      <c r="C13" t="s">
        <v>8</v>
      </c>
      <c r="D13" t="s">
        <v>33</v>
      </c>
      <c r="E13" t="s">
        <v>15</v>
      </c>
    </row>
    <row r="14" spans="1:11" x14ac:dyDescent="0.3">
      <c r="A14" t="s">
        <v>23</v>
      </c>
      <c r="B14" t="s">
        <v>23</v>
      </c>
      <c r="C14" t="s">
        <v>7</v>
      </c>
      <c r="D14" t="s">
        <v>27</v>
      </c>
      <c r="E14" t="s">
        <v>26</v>
      </c>
    </row>
    <row r="15" spans="1:11" x14ac:dyDescent="0.3">
      <c r="A15" t="s">
        <v>23</v>
      </c>
      <c r="B15" t="s">
        <v>23</v>
      </c>
      <c r="C15" t="s">
        <v>8</v>
      </c>
      <c r="D15" t="s">
        <v>24</v>
      </c>
      <c r="E15" t="s">
        <v>25</v>
      </c>
    </row>
    <row r="19" spans="1:11" x14ac:dyDescent="0.3">
      <c r="A19" s="8" t="s">
        <v>32</v>
      </c>
      <c r="B19" s="8"/>
      <c r="C19" s="8"/>
    </row>
    <row r="20" spans="1:11" x14ac:dyDescent="0.3">
      <c r="A20" s="6" t="s">
        <v>2</v>
      </c>
      <c r="B20" s="6" t="s">
        <v>3</v>
      </c>
      <c r="C20" s="6" t="s">
        <v>6</v>
      </c>
      <c r="D20" s="7" t="s">
        <v>34</v>
      </c>
      <c r="E20" s="7" t="s">
        <v>35</v>
      </c>
      <c r="F20" s="7" t="s">
        <v>38</v>
      </c>
      <c r="G20" s="7" t="s">
        <v>42</v>
      </c>
      <c r="H20" s="7" t="s">
        <v>43</v>
      </c>
      <c r="I20" s="7" t="s">
        <v>50</v>
      </c>
      <c r="J20" s="2"/>
      <c r="K20" s="2"/>
    </row>
    <row r="21" spans="1:11" x14ac:dyDescent="0.3">
      <c r="A21" t="s">
        <v>5</v>
      </c>
      <c r="B21" t="s">
        <v>5</v>
      </c>
      <c r="C21" t="s">
        <v>7</v>
      </c>
      <c r="D21" t="s">
        <v>39</v>
      </c>
      <c r="E21" t="s">
        <v>40</v>
      </c>
      <c r="F21" s="3">
        <v>0.98899999999999999</v>
      </c>
      <c r="G21">
        <v>615482</v>
      </c>
      <c r="H21">
        <v>609410</v>
      </c>
      <c r="I21">
        <f>G21-H21</f>
        <v>6072</v>
      </c>
    </row>
    <row r="22" spans="1:11" x14ac:dyDescent="0.3">
      <c r="D22" t="s">
        <v>45</v>
      </c>
      <c r="E22" t="s">
        <v>46</v>
      </c>
      <c r="F22" s="3">
        <f>H22/G22</f>
        <v>0.98647401548704916</v>
      </c>
      <c r="G22">
        <v>615482</v>
      </c>
      <c r="H22">
        <v>607157</v>
      </c>
      <c r="I22">
        <f t="shared" ref="I22:I27" si="0">G22-H22</f>
        <v>8325</v>
      </c>
    </row>
    <row r="23" spans="1:11" x14ac:dyDescent="0.3">
      <c r="D23" t="s">
        <v>44</v>
      </c>
      <c r="E23" t="s">
        <v>41</v>
      </c>
      <c r="F23" s="3">
        <v>0.97860000000000003</v>
      </c>
      <c r="G23">
        <v>615482</v>
      </c>
      <c r="H23">
        <v>602710</v>
      </c>
      <c r="I23">
        <f t="shared" si="0"/>
        <v>12772</v>
      </c>
    </row>
    <row r="25" spans="1:11" x14ac:dyDescent="0.3">
      <c r="C25" t="s">
        <v>8</v>
      </c>
      <c r="D25" t="s">
        <v>37</v>
      </c>
      <c r="E25" t="s">
        <v>36</v>
      </c>
      <c r="F25" s="3">
        <v>0.96870000000000001</v>
      </c>
      <c r="G25" s="2">
        <v>205820</v>
      </c>
      <c r="H25" s="2">
        <v>199388</v>
      </c>
      <c r="I25">
        <f t="shared" si="0"/>
        <v>6432</v>
      </c>
    </row>
    <row r="26" spans="1:11" x14ac:dyDescent="0.3">
      <c r="D26" t="s">
        <v>51</v>
      </c>
      <c r="E26" t="s">
        <v>49</v>
      </c>
      <c r="F26" s="3">
        <v>0.96650000000000003</v>
      </c>
      <c r="G26" s="2">
        <v>205820</v>
      </c>
      <c r="H26" s="2">
        <v>198938</v>
      </c>
      <c r="I26">
        <f t="shared" si="0"/>
        <v>6882</v>
      </c>
    </row>
    <row r="27" spans="1:11" x14ac:dyDescent="0.3">
      <c r="D27" t="s">
        <v>47</v>
      </c>
      <c r="E27" t="s">
        <v>48</v>
      </c>
      <c r="F27" s="3">
        <v>0.93979999999999997</v>
      </c>
      <c r="G27" s="2">
        <v>205820</v>
      </c>
      <c r="H27">
        <v>193438</v>
      </c>
      <c r="I27">
        <f t="shared" si="0"/>
        <v>12382</v>
      </c>
    </row>
    <row r="28" spans="1:1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1" x14ac:dyDescent="0.3">
      <c r="A29" t="s">
        <v>13</v>
      </c>
      <c r="B29" t="s">
        <v>13</v>
      </c>
      <c r="C29" t="s">
        <v>7</v>
      </c>
      <c r="D29" t="s">
        <v>62</v>
      </c>
      <c r="E29" t="s">
        <v>61</v>
      </c>
      <c r="F29" s="3">
        <f>H29/G29</f>
        <v>0.98956142400872482</v>
      </c>
      <c r="G29">
        <v>924264</v>
      </c>
      <c r="H29">
        <v>914616</v>
      </c>
      <c r="I29">
        <f>G29-H29</f>
        <v>9648</v>
      </c>
    </row>
    <row r="30" spans="1:11" x14ac:dyDescent="0.3">
      <c r="D30" t="s">
        <v>58</v>
      </c>
      <c r="E30" t="s">
        <v>57</v>
      </c>
      <c r="F30" s="3">
        <f>H30/G30</f>
        <v>0.98806401634165131</v>
      </c>
      <c r="G30">
        <v>924264</v>
      </c>
      <c r="H30">
        <v>913232</v>
      </c>
      <c r="I30">
        <f t="shared" ref="I30:I31" si="1">G30-H30</f>
        <v>11032</v>
      </c>
    </row>
    <row r="31" spans="1:11" x14ac:dyDescent="0.3">
      <c r="D31" t="s">
        <v>59</v>
      </c>
      <c r="E31" t="s">
        <v>60</v>
      </c>
      <c r="F31" s="3">
        <v>0.97860000000000003</v>
      </c>
      <c r="G31">
        <v>924264</v>
      </c>
      <c r="H31">
        <v>896046</v>
      </c>
      <c r="I31">
        <f t="shared" si="1"/>
        <v>28218</v>
      </c>
    </row>
    <row r="33" spans="1:11" x14ac:dyDescent="0.3">
      <c r="C33" t="s">
        <v>8</v>
      </c>
      <c r="D33" t="s">
        <v>52</v>
      </c>
      <c r="E33" t="s">
        <v>39</v>
      </c>
      <c r="F33" s="3">
        <f>H33/G33</f>
        <v>0.96874939267320959</v>
      </c>
      <c r="G33" s="2">
        <v>308730</v>
      </c>
      <c r="H33" s="2">
        <v>299082</v>
      </c>
      <c r="I33">
        <f t="shared" ref="I33:I34" si="2">G33-H33</f>
        <v>9648</v>
      </c>
    </row>
    <row r="34" spans="1:11" x14ac:dyDescent="0.3">
      <c r="D34" t="s">
        <v>55</v>
      </c>
      <c r="E34" t="s">
        <v>56</v>
      </c>
      <c r="F34" s="3">
        <f>H34/G34</f>
        <v>0.96734039451948306</v>
      </c>
      <c r="G34" s="2">
        <v>308730</v>
      </c>
      <c r="H34">
        <v>298647</v>
      </c>
      <c r="I34">
        <f t="shared" si="2"/>
        <v>10083</v>
      </c>
    </row>
    <row r="35" spans="1:11" x14ac:dyDescent="0.3">
      <c r="D35" t="s">
        <v>54</v>
      </c>
      <c r="E35" t="s">
        <v>53</v>
      </c>
      <c r="F35" s="3">
        <f>H35/G35</f>
        <v>0.92378777572636284</v>
      </c>
      <c r="G35" s="2">
        <v>308730</v>
      </c>
      <c r="H35">
        <v>285201</v>
      </c>
      <c r="I35">
        <f t="shared" ref="I35" si="3">G35-H35</f>
        <v>23529</v>
      </c>
    </row>
    <row r="36" spans="1:11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11" x14ac:dyDescent="0.3">
      <c r="A37" t="s">
        <v>23</v>
      </c>
      <c r="B37" t="s">
        <v>23</v>
      </c>
      <c r="C37" t="s">
        <v>7</v>
      </c>
      <c r="D37" t="s">
        <v>63</v>
      </c>
      <c r="E37" t="s">
        <v>64</v>
      </c>
      <c r="F37" s="3">
        <f>H37/G37</f>
        <v>0.98430407297985234</v>
      </c>
      <c r="G37">
        <v>821487</v>
      </c>
      <c r="H37">
        <v>808593</v>
      </c>
      <c r="I37">
        <f>G37-H37</f>
        <v>12894</v>
      </c>
    </row>
    <row r="38" spans="1:11" x14ac:dyDescent="0.3">
      <c r="D38" t="s">
        <v>60</v>
      </c>
      <c r="E38" t="s">
        <v>69</v>
      </c>
      <c r="F38" s="3">
        <f>H38/G38</f>
        <v>0.98180007717711903</v>
      </c>
      <c r="G38">
        <v>821487</v>
      </c>
      <c r="H38">
        <v>806536</v>
      </c>
      <c r="I38">
        <f t="shared" ref="I38:I39" si="4">G38-H38</f>
        <v>14951</v>
      </c>
    </row>
    <row r="39" spans="1:11" x14ac:dyDescent="0.3">
      <c r="D39" t="s">
        <v>70</v>
      </c>
      <c r="E39" t="s">
        <v>71</v>
      </c>
      <c r="F39" s="3">
        <v>0.97860000000000003</v>
      </c>
      <c r="G39">
        <v>821487</v>
      </c>
      <c r="H39">
        <v>803832</v>
      </c>
      <c r="I39">
        <f t="shared" si="4"/>
        <v>17655</v>
      </c>
    </row>
    <row r="41" spans="1:11" x14ac:dyDescent="0.3">
      <c r="C41" t="s">
        <v>8</v>
      </c>
      <c r="D41" t="s">
        <v>66</v>
      </c>
      <c r="E41" t="s">
        <v>65</v>
      </c>
      <c r="F41" s="3">
        <f>H41/G41</f>
        <v>0.93749878534641917</v>
      </c>
      <c r="G41" s="2">
        <v>205820</v>
      </c>
      <c r="H41" s="2">
        <v>192956</v>
      </c>
      <c r="I41">
        <f t="shared" ref="I41:I43" si="5">G41-H41</f>
        <v>12864</v>
      </c>
    </row>
    <row r="42" spans="1:11" x14ac:dyDescent="0.3">
      <c r="D42" t="s">
        <v>67</v>
      </c>
      <c r="E42" t="s">
        <v>68</v>
      </c>
      <c r="F42" s="3">
        <f>H42/G42</f>
        <v>0.93542415703041493</v>
      </c>
      <c r="G42" s="2">
        <v>205820</v>
      </c>
      <c r="H42">
        <v>192529</v>
      </c>
      <c r="I42">
        <f t="shared" si="5"/>
        <v>13291</v>
      </c>
    </row>
    <row r="43" spans="1:11" x14ac:dyDescent="0.3">
      <c r="D43" t="s">
        <v>72</v>
      </c>
      <c r="E43" t="s">
        <v>78</v>
      </c>
      <c r="F43" s="3">
        <f>H43/G43</f>
        <v>0.91840443105626279</v>
      </c>
      <c r="G43" s="2">
        <v>205820</v>
      </c>
      <c r="H43">
        <v>189026</v>
      </c>
      <c r="I43">
        <f t="shared" si="5"/>
        <v>16794</v>
      </c>
    </row>
    <row r="47" spans="1:11" x14ac:dyDescent="0.3">
      <c r="A47" s="8" t="s">
        <v>73</v>
      </c>
      <c r="B47" s="8"/>
      <c r="C47" s="8"/>
    </row>
    <row r="48" spans="1:11" x14ac:dyDescent="0.3">
      <c r="A48" s="6" t="s">
        <v>2</v>
      </c>
      <c r="B48" s="6" t="s">
        <v>3</v>
      </c>
      <c r="C48" s="6" t="s">
        <v>6</v>
      </c>
      <c r="D48" s="6" t="s">
        <v>74</v>
      </c>
      <c r="E48" s="7" t="s">
        <v>38</v>
      </c>
      <c r="F48" s="7" t="s">
        <v>42</v>
      </c>
      <c r="G48" s="7" t="s">
        <v>43</v>
      </c>
      <c r="H48" s="7" t="s">
        <v>50</v>
      </c>
      <c r="J48" s="2"/>
      <c r="K48" s="2"/>
    </row>
    <row r="49" spans="1:9" x14ac:dyDescent="0.3">
      <c r="A49" t="s">
        <v>5</v>
      </c>
      <c r="B49" t="s">
        <v>5</v>
      </c>
      <c r="C49" t="s">
        <v>7</v>
      </c>
      <c r="D49" t="s">
        <v>90</v>
      </c>
      <c r="E49" s="3">
        <v>0.98899999999999999</v>
      </c>
      <c r="F49">
        <v>58330</v>
      </c>
      <c r="G49">
        <v>57715</v>
      </c>
      <c r="H49">
        <f>F49-G49</f>
        <v>615</v>
      </c>
    </row>
    <row r="50" spans="1:9" x14ac:dyDescent="0.3">
      <c r="D50" t="s">
        <v>83</v>
      </c>
      <c r="E50" s="3">
        <f>G50/F50</f>
        <v>0.98367906737527855</v>
      </c>
      <c r="F50">
        <v>58330</v>
      </c>
      <c r="G50">
        <v>57378</v>
      </c>
      <c r="H50">
        <f t="shared" ref="H50:H51" si="6">F50-G50</f>
        <v>952</v>
      </c>
    </row>
    <row r="51" spans="1:9" x14ac:dyDescent="0.3">
      <c r="D51" t="s">
        <v>91</v>
      </c>
      <c r="E51" s="3">
        <f>G51/F51</f>
        <v>0.98210183439053655</v>
      </c>
      <c r="F51">
        <v>58330</v>
      </c>
      <c r="G51">
        <v>57286</v>
      </c>
      <c r="H51">
        <f t="shared" si="6"/>
        <v>1044</v>
      </c>
    </row>
    <row r="52" spans="1:9" x14ac:dyDescent="0.3">
      <c r="E52" s="3"/>
    </row>
    <row r="53" spans="1:9" x14ac:dyDescent="0.3">
      <c r="C53" t="s">
        <v>8</v>
      </c>
      <c r="D53" t="s">
        <v>87</v>
      </c>
      <c r="E53" s="3">
        <f t="shared" ref="E52:E71" si="7">G53/F53</f>
        <v>0.96875</v>
      </c>
      <c r="F53" s="2">
        <v>19680</v>
      </c>
      <c r="G53" s="2">
        <v>19065</v>
      </c>
      <c r="H53">
        <f t="shared" ref="H53:H55" si="8">F53-G53</f>
        <v>615</v>
      </c>
    </row>
    <row r="54" spans="1:9" x14ac:dyDescent="0.3">
      <c r="D54" t="s">
        <v>88</v>
      </c>
      <c r="E54" s="3">
        <f t="shared" si="7"/>
        <v>0.95320121951219516</v>
      </c>
      <c r="F54" s="2">
        <v>19680</v>
      </c>
      <c r="G54" s="2">
        <v>18759</v>
      </c>
      <c r="H54">
        <f t="shared" si="8"/>
        <v>921</v>
      </c>
    </row>
    <row r="55" spans="1:9" x14ac:dyDescent="0.3">
      <c r="D55" t="s">
        <v>89</v>
      </c>
      <c r="E55" s="3">
        <f t="shared" si="7"/>
        <v>0.94817073170731703</v>
      </c>
      <c r="F55" s="2">
        <v>19680</v>
      </c>
      <c r="G55">
        <v>18660</v>
      </c>
      <c r="H55">
        <f t="shared" si="8"/>
        <v>1020</v>
      </c>
    </row>
    <row r="56" spans="1:9" x14ac:dyDescent="0.3">
      <c r="A56" s="4"/>
      <c r="B56" s="4"/>
      <c r="C56" s="4"/>
      <c r="D56" s="4"/>
      <c r="E56" s="4"/>
      <c r="F56" s="4"/>
      <c r="G56" s="4"/>
      <c r="H56" s="4"/>
      <c r="I56" s="9"/>
    </row>
    <row r="57" spans="1:9" x14ac:dyDescent="0.3">
      <c r="A57" t="s">
        <v>13</v>
      </c>
      <c r="B57" t="s">
        <v>13</v>
      </c>
      <c r="C57" t="s">
        <v>7</v>
      </c>
      <c r="D57" t="s">
        <v>84</v>
      </c>
      <c r="E57" s="3">
        <f t="shared" si="7"/>
        <v>0.98945648945648945</v>
      </c>
      <c r="F57">
        <v>87542</v>
      </c>
      <c r="G57">
        <v>86619</v>
      </c>
      <c r="H57">
        <f>F57-G57</f>
        <v>923</v>
      </c>
    </row>
    <row r="58" spans="1:9" x14ac:dyDescent="0.3">
      <c r="D58" t="s">
        <v>85</v>
      </c>
      <c r="E58" s="3">
        <f t="shared" si="7"/>
        <v>0.98533275456352376</v>
      </c>
      <c r="F58">
        <v>87542</v>
      </c>
      <c r="G58">
        <v>86258</v>
      </c>
      <c r="H58">
        <f t="shared" ref="H58:H59" si="9">F58-G58</f>
        <v>1284</v>
      </c>
    </row>
    <row r="59" spans="1:9" x14ac:dyDescent="0.3">
      <c r="D59" t="s">
        <v>86</v>
      </c>
      <c r="E59" s="3">
        <f t="shared" si="7"/>
        <v>0.98441890749583061</v>
      </c>
      <c r="F59">
        <v>87542</v>
      </c>
      <c r="G59">
        <v>86178</v>
      </c>
      <c r="H59">
        <f t="shared" si="9"/>
        <v>1364</v>
      </c>
    </row>
    <row r="60" spans="1:9" x14ac:dyDescent="0.3">
      <c r="E60" s="3"/>
    </row>
    <row r="61" spans="1:9" x14ac:dyDescent="0.3">
      <c r="C61" t="s">
        <v>8</v>
      </c>
      <c r="D61" t="s">
        <v>81</v>
      </c>
      <c r="E61" s="3">
        <f t="shared" si="7"/>
        <v>0.96873306233062328</v>
      </c>
      <c r="F61" s="2">
        <v>29520</v>
      </c>
      <c r="G61" s="2">
        <v>28597</v>
      </c>
      <c r="H61">
        <f t="shared" ref="H61:H63" si="10">F61-G61</f>
        <v>923</v>
      </c>
    </row>
    <row r="62" spans="1:9" x14ac:dyDescent="0.3">
      <c r="D62" t="s">
        <v>82</v>
      </c>
      <c r="E62" s="3">
        <f t="shared" si="7"/>
        <v>0.95799457994579951</v>
      </c>
      <c r="F62" s="2">
        <v>29520</v>
      </c>
      <c r="G62" s="2">
        <v>28280</v>
      </c>
      <c r="H62">
        <f t="shared" si="10"/>
        <v>1240</v>
      </c>
    </row>
    <row r="63" spans="1:9" x14ac:dyDescent="0.3">
      <c r="D63" t="s">
        <v>83</v>
      </c>
      <c r="E63" s="3">
        <f t="shared" si="7"/>
        <v>0.95460704607046065</v>
      </c>
      <c r="F63" s="2">
        <v>29520</v>
      </c>
      <c r="G63">
        <v>28180</v>
      </c>
      <c r="H63">
        <f t="shared" si="10"/>
        <v>1340</v>
      </c>
    </row>
    <row r="64" spans="1:9" x14ac:dyDescent="0.3">
      <c r="A64" s="4"/>
      <c r="B64" s="4"/>
      <c r="C64" s="4"/>
      <c r="D64" s="4"/>
      <c r="E64" s="4"/>
      <c r="F64" s="4"/>
      <c r="G64" s="4"/>
      <c r="H64" s="4"/>
    </row>
    <row r="65" spans="1:8" x14ac:dyDescent="0.3">
      <c r="A65" t="s">
        <v>23</v>
      </c>
      <c r="B65" t="s">
        <v>23</v>
      </c>
      <c r="C65" t="s">
        <v>7</v>
      </c>
      <c r="D65" t="s">
        <v>79</v>
      </c>
      <c r="E65" s="3">
        <f t="shared" si="7"/>
        <v>0.9841912473491421</v>
      </c>
      <c r="F65">
        <v>77805</v>
      </c>
      <c r="G65">
        <v>76575</v>
      </c>
      <c r="H65">
        <f>F65-G65</f>
        <v>1230</v>
      </c>
    </row>
    <row r="66" spans="1:8" x14ac:dyDescent="0.3">
      <c r="D66" t="s">
        <v>80</v>
      </c>
      <c r="E66" s="3">
        <f t="shared" si="7"/>
        <v>0.97962855857592701</v>
      </c>
      <c r="F66">
        <v>77805</v>
      </c>
      <c r="G66">
        <v>76220</v>
      </c>
      <c r="H66">
        <f t="shared" ref="H66:H67" si="11">F66-G66</f>
        <v>1585</v>
      </c>
    </row>
    <row r="67" spans="1:8" x14ac:dyDescent="0.3">
      <c r="D67" t="s">
        <v>57</v>
      </c>
      <c r="E67" s="3">
        <f t="shared" si="7"/>
        <v>0.97871602082128395</v>
      </c>
      <c r="F67">
        <v>77805</v>
      </c>
      <c r="G67">
        <v>76149</v>
      </c>
      <c r="H67">
        <f t="shared" si="11"/>
        <v>1656</v>
      </c>
    </row>
    <row r="68" spans="1:8" x14ac:dyDescent="0.3">
      <c r="E68" s="3"/>
    </row>
    <row r="69" spans="1:8" x14ac:dyDescent="0.3">
      <c r="C69" t="s">
        <v>8</v>
      </c>
      <c r="D69" t="s">
        <v>76</v>
      </c>
      <c r="E69" s="3">
        <f t="shared" si="7"/>
        <v>0.9375</v>
      </c>
      <c r="F69">
        <v>19680</v>
      </c>
      <c r="G69" s="2">
        <v>18450</v>
      </c>
      <c r="H69">
        <f t="shared" ref="H69:H71" si="12">F69-G69</f>
        <v>1230</v>
      </c>
    </row>
    <row r="70" spans="1:8" x14ac:dyDescent="0.3">
      <c r="D70" t="s">
        <v>75</v>
      </c>
      <c r="E70" s="3">
        <f t="shared" si="7"/>
        <v>0.92296747967479675</v>
      </c>
      <c r="F70">
        <v>19680</v>
      </c>
      <c r="G70" s="2">
        <v>18164</v>
      </c>
      <c r="H70">
        <f t="shared" si="12"/>
        <v>1516</v>
      </c>
    </row>
    <row r="71" spans="1:8" x14ac:dyDescent="0.3">
      <c r="D71" t="s">
        <v>77</v>
      </c>
      <c r="E71" s="3">
        <f t="shared" si="7"/>
        <v>0.91829268292682931</v>
      </c>
      <c r="F71">
        <v>19680</v>
      </c>
      <c r="G71">
        <v>18072</v>
      </c>
      <c r="H71">
        <f t="shared" si="12"/>
        <v>1608</v>
      </c>
    </row>
    <row r="72" spans="1:8" x14ac:dyDescent="0.3">
      <c r="A72" s="4"/>
      <c r="B72" s="4"/>
      <c r="C72" s="4"/>
      <c r="D72" s="4"/>
      <c r="E72" s="4"/>
      <c r="F72" s="4"/>
      <c r="G72" s="4"/>
      <c r="H72" s="4"/>
    </row>
  </sheetData>
  <mergeCells count="4">
    <mergeCell ref="A19:C19"/>
    <mergeCell ref="A47:C47"/>
    <mergeCell ref="A2:C2"/>
    <mergeCell ref="A1:XF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AEE7-15FA-425E-957F-71A5F344A072}">
  <dimension ref="A1:C4"/>
  <sheetViews>
    <sheetView tabSelected="1" workbookViewId="0">
      <selection activeCell="G4" sqref="G4"/>
    </sheetView>
  </sheetViews>
  <sheetFormatPr defaultRowHeight="14" x14ac:dyDescent="0.3"/>
  <cols>
    <col min="1" max="1" width="12.08203125" customWidth="1"/>
    <col min="2" max="2" width="13.33203125" customWidth="1"/>
    <col min="3" max="3" width="19.4140625" customWidth="1"/>
    <col min="4" max="4" width="15.83203125" customWidth="1"/>
    <col min="5" max="5" width="19.5" customWidth="1"/>
  </cols>
  <sheetData>
    <row r="1" spans="1:3" x14ac:dyDescent="0.3">
      <c r="A1" s="6" t="s">
        <v>92</v>
      </c>
      <c r="B1" s="7" t="s">
        <v>93</v>
      </c>
      <c r="C1" s="7" t="s">
        <v>94</v>
      </c>
    </row>
    <row r="2" spans="1:3" x14ac:dyDescent="0.3">
      <c r="A2" t="s">
        <v>5</v>
      </c>
      <c r="B2" t="s">
        <v>95</v>
      </c>
      <c r="C2" t="s">
        <v>96</v>
      </c>
    </row>
    <row r="3" spans="1:3" x14ac:dyDescent="0.3">
      <c r="A3" t="s">
        <v>13</v>
      </c>
      <c r="B3" t="s">
        <v>95</v>
      </c>
      <c r="C3" t="s">
        <v>97</v>
      </c>
    </row>
    <row r="4" spans="1:3" x14ac:dyDescent="0.3">
      <c r="A4" t="s">
        <v>23</v>
      </c>
      <c r="B4" t="s">
        <v>95</v>
      </c>
      <c r="C4" t="s">
        <v>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Blend</vt:lpstr>
      <vt:lpstr>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Astor Zhang(张一凡)</dc:creator>
  <cp:lastModifiedBy>Astor Zhang(张一凡)</cp:lastModifiedBy>
  <dcterms:created xsi:type="dcterms:W3CDTF">2026-08-24T09:38:38Z</dcterms:created>
  <dcterms:modified xsi:type="dcterms:W3CDTF">2026-08-26T08:29:07Z</dcterms:modified>
</cp:coreProperties>
</file>